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WIN 10\Documents\"/>
    </mc:Choice>
  </mc:AlternateContent>
  <bookViews>
    <workbookView xWindow="0" yWindow="495" windowWidth="29400" windowHeight="16305" tabRatio="849" activeTab="3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18" l="1"/>
  <c r="B29" i="18"/>
  <c r="B28" i="18"/>
  <c r="C22" i="19"/>
  <c r="H41" i="1" l="1"/>
</calcChain>
</file>

<file path=xl/sharedStrings.xml><?xml version="1.0" encoding="utf-8"?>
<sst xmlns="http://schemas.openxmlformats.org/spreadsheetml/2006/main" count="364" uniqueCount="142">
  <si>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</si>
  <si>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</si>
  <si>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</si>
  <si>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</si>
  <si>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</si>
  <si>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</si>
  <si>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</si>
  <si>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</si>
  <si>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</si>
  <si>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</si>
  <si>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</si>
  <si>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</si>
  <si>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</si>
  <si>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</si>
  <si>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</si>
  <si>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</si>
  <si>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</si>
  <si>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</si>
  <si>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</si>
  <si>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</si>
  <si>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</si>
  <si>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</si>
  <si>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</si>
  <si>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</si>
  <si>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</si>
  <si>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</si>
  <si>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</si>
  <si>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</si>
  <si>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</si>
  <si>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</si>
  <si>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</si>
  <si>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</si>
  <si>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</si>
  <si>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</si>
  <si>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</si>
  <si>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</si>
  <si>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</si>
  <si>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</si>
  <si>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</si>
  <si>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</si>
  <si>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</si>
  <si>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</si>
  <si>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</si>
  <si>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</si>
  <si>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</si>
  <si>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</si>
  <si>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</si>
  <si>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</si>
  <si>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</si>
  <si>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</si>
  <si>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</si>
  <si>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</si>
  <si>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</si>
  <si>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</si>
  <si>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</si>
  <si>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</si>
  <si>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</si>
  <si>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</si>
  <si>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</si>
  <si>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</si>
  <si>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</si>
  <si>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</si>
  <si>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</si>
  <si>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</si>
  <si>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</si>
  <si>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</si>
  <si>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</si>
  <si>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</si>
  <si>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</si>
  <si>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</si>
  <si>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</si>
  <si>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</si>
  <si>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</si>
  <si>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</si>
  <si>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</si>
  <si>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</si>
  <si>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</si>
  <si>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</si>
  <si>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</si>
  <si>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</si>
  <si>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</si>
  <si>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</si>
  <si>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</si>
  <si>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</si>
  <si>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</si>
  <si>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</si>
  <si>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</si>
  <si>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</si>
  <si>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</si>
  <si>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</si>
  <si>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</si>
  <si>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</si>
  <si>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</si>
  <si>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</si>
  <si>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</si>
  <si>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</si>
  <si>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</si>
  <si>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</si>
  <si>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</si>
  <si>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</si>
  <si>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</si>
  <si>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</si>
  <si>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</si>
  <si>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</si>
  <si>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</si>
  <si>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</si>
  <si>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</si>
  <si>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</si>
  <si>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</si>
  <si>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</si>
  <si>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</si>
  <si>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</si>
  <si>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</si>
  <si>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</si>
  <si>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</si>
  <si>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</si>
  <si>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</si>
  <si>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</si>
  <si>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</si>
  <si>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</si>
  <si>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</si>
  <si>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</si>
  <si>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</si>
  <si>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</si>
  <si>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</si>
  <si>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</si>
  <si>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</si>
  <si>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</si>
  <si>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</si>
  <si>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</si>
  <si>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</si>
  <si>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</si>
  <si>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</si>
  <si>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</si>
  <si>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</si>
  <si>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</si>
  <si>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</si>
  <si>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</si>
  <si>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</si>
  <si>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</si>
  <si>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match({name_1,table_B[id],0})</t>
  </si>
  <si>
    <t>index(table_A,[row],[coloum])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</si>
</sst>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73"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2"/>
      <tableStyleElement type="headerRow" dxfId="7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139</v>
      </c>
      <c r="C4" s="1"/>
    </row>
    <row r="5" spans="1:3" x14ac:dyDescent="0.2">
      <c r="A5" s="2" t="s">
        <v>114</v>
      </c>
    </row>
    <row r="8" spans="1:3" x14ac:dyDescent="0.2">
      <c r="A8" s="2" t="s">
        <v>135</v>
      </c>
    </row>
    <row r="9" spans="1:3" x14ac:dyDescent="0.2">
      <c r="A9" s="36" t="s">
        <v>133</v>
      </c>
      <c r="B9" s="26" t="s">
        <v>131</v>
      </c>
    </row>
    <row r="10" spans="1:3" x14ac:dyDescent="0.2">
      <c r="A10" s="35" t="s">
        <v>134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132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xSplit="1" ySplit="1" topLeftCell="B21" activePane="bottomRight" state="frozen"/>
      <selection pane="topRight" activeCell="B1" sqref="B1"/>
      <selection pane="bottomLeft" activeCell="A2" sqref="A2"/>
      <selection pane="bottomRight" activeCell="G40" sqref="G4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75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1">
        <f>SUMPRODUCT(Dataset!H1:H40)</f>
        <v>1538.3000000000002</v>
      </c>
    </row>
  </sheetData>
  <conditionalFormatting sqref="A1:A1048576">
    <cfRule type="duplicateValues" dxfId="70" priority="5"/>
  </conditionalFormatting>
  <conditionalFormatting sqref="B1:B1048576">
    <cfRule type="duplicateValues" dxfId="69" priority="4"/>
  </conditionalFormatting>
  <conditionalFormatting sqref="A1:X40">
    <cfRule type="cellIs" dxfId="68" priority="1" operator="equal">
      <formula>0</formula>
    </cfRule>
    <cfRule type="cellIs" dxfId="67" priority="2" operator="equal">
      <formula>-1</formula>
    </cfRule>
    <cfRule type="cellIs" dxfId="66" priority="3" operator="lessThan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21" sqref="C21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25">
      <c r="A2" s="2"/>
      <c r="B2" s="5" t="s">
        <v>122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abSelected="1" zoomScaleNormal="100" workbookViewId="0">
      <selection activeCell="B31" sqref="B3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126</v>
      </c>
    </row>
    <row r="2" spans="1:7" s="41" customFormat="1" ht="21" x14ac:dyDescent="0.35">
      <c r="B2" s="41" t="s">
        <v>123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124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v>2.7</v>
      </c>
      <c r="C6" s="12"/>
      <c r="D6" s="12"/>
      <c r="E6" s="12"/>
      <c r="F6" s="8"/>
    </row>
    <row r="7" spans="1:7" ht="15" x14ac:dyDescent="0.25">
      <c r="A7" s="7" t="s">
        <v>4</v>
      </c>
      <c r="B7" s="1">
        <v>2.7</v>
      </c>
      <c r="C7" s="12"/>
      <c r="D7" s="12"/>
      <c r="E7" s="12"/>
      <c r="F7" s="8"/>
    </row>
    <row r="8" spans="1:7" ht="15" x14ac:dyDescent="0.25">
      <c r="A8" s="7" t="s">
        <v>7</v>
      </c>
      <c r="B8" s="1">
        <v>3.6</v>
      </c>
      <c r="C8" s="12"/>
      <c r="D8" s="12"/>
      <c r="E8" s="12"/>
      <c r="F8" s="8"/>
    </row>
    <row r="9" spans="1:7" ht="15" x14ac:dyDescent="0.25">
      <c r="A9" s="7" t="s">
        <v>8</v>
      </c>
      <c r="B9" s="1">
        <v>4.9000000000000004</v>
      </c>
      <c r="C9" s="12"/>
      <c r="D9" s="12"/>
      <c r="E9" s="12"/>
      <c r="F9" s="8"/>
    </row>
    <row r="10" spans="1:7" ht="15" x14ac:dyDescent="0.25">
      <c r="A10" s="7" t="s">
        <v>11</v>
      </c>
      <c r="B10" s="1">
        <v>9.4</v>
      </c>
      <c r="C10" s="12"/>
      <c r="D10" s="12"/>
      <c r="E10" s="12"/>
      <c r="F10" s="8"/>
    </row>
    <row r="11" spans="1:7" ht="15" x14ac:dyDescent="0.25">
      <c r="A11" s="7" t="s">
        <v>12</v>
      </c>
      <c r="B11" s="1">
        <v>11.6</v>
      </c>
      <c r="C11" s="12"/>
      <c r="D11" s="12"/>
      <c r="E11" s="12"/>
      <c r="F11" s="8"/>
    </row>
    <row r="12" spans="1:7" ht="15" x14ac:dyDescent="0.25">
      <c r="A12" s="7" t="s">
        <v>14</v>
      </c>
      <c r="B12" s="1">
        <v>18.399999999999999</v>
      </c>
      <c r="C12" s="12"/>
      <c r="D12" s="12"/>
      <c r="E12" s="12"/>
      <c r="F12" s="8"/>
    </row>
    <row r="13" spans="1:7" ht="15" x14ac:dyDescent="0.25">
      <c r="A13" s="7" t="s">
        <v>15</v>
      </c>
      <c r="B13" s="1">
        <v>0</v>
      </c>
      <c r="C13" s="12"/>
      <c r="D13" s="12"/>
      <c r="E13" s="12"/>
      <c r="F13" s="8"/>
    </row>
    <row r="14" spans="1:7" ht="15" x14ac:dyDescent="0.25">
      <c r="A14" s="7" t="s">
        <v>16</v>
      </c>
      <c r="B14" s="1">
        <v>21.9</v>
      </c>
      <c r="C14" s="12"/>
      <c r="D14" s="12"/>
      <c r="E14" s="12"/>
      <c r="F14" s="8"/>
    </row>
    <row r="15" spans="1:7" ht="15" x14ac:dyDescent="0.25">
      <c r="A15" s="7" t="s">
        <v>18</v>
      </c>
      <c r="B15" s="1">
        <v>26.8</v>
      </c>
      <c r="C15" s="12"/>
      <c r="D15" s="12"/>
      <c r="E15" s="12"/>
      <c r="F15" s="8"/>
    </row>
    <row r="16" spans="1:7" ht="15" x14ac:dyDescent="0.25">
      <c r="A16" s="7" t="s">
        <v>20</v>
      </c>
      <c r="B16" s="1">
        <v>28.5</v>
      </c>
      <c r="C16" s="12"/>
      <c r="D16" s="12"/>
      <c r="E16" s="12"/>
      <c r="F16" s="8"/>
    </row>
    <row r="17" spans="1:6" ht="15" x14ac:dyDescent="0.25">
      <c r="A17" s="7" t="s">
        <v>22</v>
      </c>
      <c r="B17" s="1">
        <v>30.7</v>
      </c>
      <c r="C17" s="12"/>
      <c r="D17" s="12"/>
      <c r="E17" s="12"/>
      <c r="F17" s="8"/>
    </row>
    <row r="18" spans="1:6" ht="15" x14ac:dyDescent="0.25">
      <c r="A18" s="7" t="s">
        <v>23</v>
      </c>
      <c r="B18" s="1">
        <v>33.799999999999997</v>
      </c>
      <c r="C18" s="12"/>
      <c r="D18" s="12"/>
      <c r="E18" s="12"/>
      <c r="F18" s="8"/>
    </row>
    <row r="19" spans="1:6" ht="15" x14ac:dyDescent="0.25">
      <c r="A19" s="7" t="s">
        <v>24</v>
      </c>
      <c r="B19" s="1">
        <v>34.700000000000003</v>
      </c>
      <c r="C19" s="12"/>
      <c r="D19" s="12"/>
      <c r="E19" s="12"/>
      <c r="F19" s="8"/>
    </row>
    <row r="20" spans="1:6" ht="15" x14ac:dyDescent="0.25">
      <c r="A20" s="7" t="s">
        <v>28</v>
      </c>
      <c r="B20" s="12">
        <v>0</v>
      </c>
      <c r="C20" s="12"/>
      <c r="D20" s="12"/>
      <c r="E20" s="12"/>
      <c r="F20" s="8"/>
    </row>
    <row r="21" spans="1:6" ht="15" x14ac:dyDescent="0.25">
      <c r="A21" s="7" t="s">
        <v>57</v>
      </c>
      <c r="B21" s="1">
        <v>41.3</v>
      </c>
      <c r="C21" s="12"/>
      <c r="D21" s="12"/>
      <c r="E21" s="12"/>
      <c r="F21" s="8"/>
    </row>
    <row r="22" spans="1:6" ht="15" x14ac:dyDescent="0.25">
      <c r="A22" s="7" t="s">
        <v>58</v>
      </c>
      <c r="B22" s="12">
        <v>-1</v>
      </c>
      <c r="C22" s="12"/>
      <c r="D22" s="12"/>
      <c r="E22" s="12"/>
      <c r="F22" s="8"/>
    </row>
    <row r="23" spans="1:6" ht="15" x14ac:dyDescent="0.25">
      <c r="A23" s="7" t="s">
        <v>31</v>
      </c>
      <c r="B23" s="12">
        <v>45</v>
      </c>
      <c r="C23" s="12"/>
      <c r="D23" s="12"/>
      <c r="E23" s="12"/>
      <c r="F23" s="8"/>
    </row>
    <row r="24" spans="1:6" ht="15" x14ac:dyDescent="0.25">
      <c r="A24" s="7" t="s">
        <v>32</v>
      </c>
      <c r="B24" s="12">
        <v>-1</v>
      </c>
      <c r="C24" s="12"/>
      <c r="D24" s="12"/>
      <c r="E24" s="12"/>
      <c r="F24" s="8"/>
    </row>
    <row r="25" spans="1:6" ht="15" x14ac:dyDescent="0.25">
      <c r="A25" s="7" t="s">
        <v>34</v>
      </c>
      <c r="B25" s="1">
        <v>43.3</v>
      </c>
      <c r="C25" s="12"/>
      <c r="D25" s="12"/>
      <c r="E25" s="12"/>
      <c r="F25" s="8"/>
    </row>
    <row r="26" spans="1:6" ht="15" x14ac:dyDescent="0.25">
      <c r="A26" s="7" t="s">
        <v>37</v>
      </c>
      <c r="B26" s="1">
        <v>49.1</v>
      </c>
      <c r="C26" s="12"/>
      <c r="D26" s="12"/>
      <c r="E26" s="12"/>
      <c r="F26" s="8"/>
    </row>
    <row r="27" spans="1:6" ht="15" x14ac:dyDescent="0.25">
      <c r="A27" s="7" t="s">
        <v>39</v>
      </c>
      <c r="B27" s="1">
        <v>51.8</v>
      </c>
      <c r="C27" s="12"/>
      <c r="D27" s="12"/>
      <c r="E27" s="12"/>
      <c r="F27" s="8"/>
    </row>
    <row r="28" spans="1:6" ht="15" x14ac:dyDescent="0.25">
      <c r="A28" s="19" t="s">
        <v>82</v>
      </c>
      <c r="B28" s="31">
        <f>MIN(B6:B27)</f>
        <v>-1</v>
      </c>
      <c r="C28" s="31"/>
      <c r="D28" s="31"/>
      <c r="E28" s="31"/>
      <c r="F28" s="31"/>
    </row>
    <row r="29" spans="1:6" ht="15" x14ac:dyDescent="0.25">
      <c r="A29" s="19" t="s">
        <v>83</v>
      </c>
      <c r="B29" s="31">
        <f>MAX(B6:B27)</f>
        <v>51.8</v>
      </c>
      <c r="C29" s="31"/>
      <c r="D29" s="31"/>
      <c r="E29" s="31"/>
      <c r="F29" s="31"/>
    </row>
    <row r="30" spans="1:6" ht="15" x14ac:dyDescent="0.25">
      <c r="A30" s="19" t="s">
        <v>84</v>
      </c>
      <c r="B30" s="31">
        <f>AVERAGE(B6:B27)</f>
        <v>20.827272727272728</v>
      </c>
      <c r="C30" s="31"/>
      <c r="D30" s="31"/>
      <c r="E30" s="31"/>
      <c r="F30" s="31"/>
    </row>
  </sheetData>
  <conditionalFormatting sqref="B7:B9">
    <cfRule type="cellIs" dxfId="65" priority="31" operator="equal">
      <formula>0</formula>
    </cfRule>
    <cfRule type="cellIs" dxfId="64" priority="32" operator="equal">
      <formula>-1</formula>
    </cfRule>
    <cfRule type="cellIs" dxfId="63" priority="33" operator="lessThan">
      <formula>-1</formula>
    </cfRule>
  </conditionalFormatting>
  <conditionalFormatting sqref="B10:B14">
    <cfRule type="cellIs" dxfId="59" priority="28" operator="equal">
      <formula>0</formula>
    </cfRule>
    <cfRule type="cellIs" dxfId="58" priority="29" operator="equal">
      <formula>-1</formula>
    </cfRule>
    <cfRule type="cellIs" dxfId="57" priority="30" operator="lessThan">
      <formula>-1</formula>
    </cfRule>
  </conditionalFormatting>
  <conditionalFormatting sqref="B15">
    <cfRule type="cellIs" dxfId="53" priority="25" operator="equal">
      <formula>0</formula>
    </cfRule>
    <cfRule type="cellIs" dxfId="52" priority="26" operator="equal">
      <formula>-1</formula>
    </cfRule>
    <cfRule type="cellIs" dxfId="51" priority="27" operator="lessThan">
      <formula>-1</formula>
    </cfRule>
  </conditionalFormatting>
  <conditionalFormatting sqref="B16">
    <cfRule type="cellIs" dxfId="47" priority="22" operator="equal">
      <formula>0</formula>
    </cfRule>
    <cfRule type="cellIs" dxfId="46" priority="23" operator="equal">
      <formula>-1</formula>
    </cfRule>
    <cfRule type="cellIs" dxfId="45" priority="24" operator="lessThan">
      <formula>-1</formula>
    </cfRule>
  </conditionalFormatting>
  <conditionalFormatting sqref="B17">
    <cfRule type="cellIs" dxfId="41" priority="19" operator="equal">
      <formula>0</formula>
    </cfRule>
    <cfRule type="cellIs" dxfId="40" priority="20" operator="equal">
      <formula>-1</formula>
    </cfRule>
    <cfRule type="cellIs" dxfId="39" priority="21" operator="lessThan">
      <formula>-1</formula>
    </cfRule>
  </conditionalFormatting>
  <conditionalFormatting sqref="B18">
    <cfRule type="cellIs" dxfId="35" priority="16" operator="equal">
      <formula>0</formula>
    </cfRule>
    <cfRule type="cellIs" dxfId="34" priority="17" operator="equal">
      <formula>-1</formula>
    </cfRule>
    <cfRule type="cellIs" dxfId="33" priority="18" operator="lessThan">
      <formula>-1</formula>
    </cfRule>
  </conditionalFormatting>
  <conditionalFormatting sqref="B19">
    <cfRule type="cellIs" dxfId="29" priority="13" operator="equal">
      <formula>0</formula>
    </cfRule>
    <cfRule type="cellIs" dxfId="28" priority="14" operator="equal">
      <formula>-1</formula>
    </cfRule>
    <cfRule type="cellIs" dxfId="27" priority="15" operator="lessThan">
      <formula>-1</formula>
    </cfRule>
  </conditionalFormatting>
  <conditionalFormatting sqref="B21">
    <cfRule type="cellIs" dxfId="23" priority="10" operator="equal">
      <formula>0</formula>
    </cfRule>
    <cfRule type="cellIs" dxfId="22" priority="11" operator="equal">
      <formula>-1</formula>
    </cfRule>
    <cfRule type="cellIs" dxfId="21" priority="12" operator="lessThan">
      <formula>-1</formula>
    </cfRule>
  </conditionalFormatting>
  <conditionalFormatting sqref="B25">
    <cfRule type="cellIs" dxfId="17" priority="7" operator="equal">
      <formula>0</formula>
    </cfRule>
    <cfRule type="cellIs" dxfId="16" priority="8" operator="equal">
      <formula>-1</formula>
    </cfRule>
    <cfRule type="cellIs" dxfId="15" priority="9" operator="lessThan">
      <formula>-1</formula>
    </cfRule>
  </conditionalFormatting>
  <conditionalFormatting sqref="B26">
    <cfRule type="cellIs" dxfId="11" priority="4" operator="equal">
      <formula>0</formula>
    </cfRule>
    <cfRule type="cellIs" dxfId="10" priority="5" operator="equal">
      <formula>-1</formula>
    </cfRule>
    <cfRule type="cellIs" dxfId="9" priority="6" operator="lessThan">
      <formula>-1</formula>
    </cfRule>
  </conditionalFormatting>
  <conditionalFormatting sqref="B27">
    <cfRule type="cellIs" dxfId="5" priority="1" operator="equal">
      <formula>0</formula>
    </cfRule>
    <cfRule type="cellIs" dxfId="4" priority="2" operator="equal">
      <formula>-1</formula>
    </cfRule>
    <cfRule type="cellIs" dxfId="3" priority="3" operator="lessThan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6" zoomScaleNormal="100" workbookViewId="0">
      <selection activeCell="A54" sqref="A54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136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113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115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127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112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124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>
        <v>20000</v>
      </c>
      <c r="B16" s="12" t="s">
        <v>5</v>
      </c>
      <c r="C16" s="1">
        <v>0</v>
      </c>
      <c r="D16" s="12" t="s">
        <v>6</v>
      </c>
      <c r="E16" s="1">
        <v>24</v>
      </c>
      <c r="F16" s="12"/>
    </row>
    <row r="17" spans="1:6" x14ac:dyDescent="0.25">
      <c r="A17" s="7">
        <v>20002</v>
      </c>
      <c r="B17" s="12" t="s">
        <v>5</v>
      </c>
      <c r="C17" s="1">
        <v>0</v>
      </c>
      <c r="D17" s="12" t="s">
        <v>6</v>
      </c>
      <c r="E17" s="1">
        <v>24</v>
      </c>
      <c r="F17" s="12"/>
    </row>
    <row r="18" spans="1:6" x14ac:dyDescent="0.25">
      <c r="A18" s="7">
        <v>20004</v>
      </c>
      <c r="B18" s="12" t="s">
        <v>5</v>
      </c>
      <c r="C18" s="1">
        <v>0</v>
      </c>
      <c r="D18" s="12" t="s">
        <v>6</v>
      </c>
      <c r="E18" s="1">
        <v>24</v>
      </c>
      <c r="F18" s="12"/>
    </row>
    <row r="19" spans="1:6" x14ac:dyDescent="0.25">
      <c r="A19" s="7">
        <v>20006</v>
      </c>
      <c r="B19" s="12" t="s">
        <v>5</v>
      </c>
      <c r="C19" s="1">
        <v>0</v>
      </c>
      <c r="D19" s="12" t="s">
        <v>6</v>
      </c>
      <c r="E19" s="1">
        <v>24</v>
      </c>
      <c r="F19" s="12"/>
    </row>
    <row r="20" spans="1:6" x14ac:dyDescent="0.25">
      <c r="A20" s="7">
        <v>20008</v>
      </c>
      <c r="B20" s="12" t="s">
        <v>5</v>
      </c>
      <c r="C20" s="1">
        <v>0</v>
      </c>
      <c r="D20" s="12" t="s">
        <v>6</v>
      </c>
      <c r="E20" s="1">
        <v>24</v>
      </c>
      <c r="F20" s="12"/>
    </row>
    <row r="21" spans="1:6" x14ac:dyDescent="0.25">
      <c r="A21" s="7">
        <v>20010</v>
      </c>
      <c r="B21" s="12" t="s">
        <v>5</v>
      </c>
      <c r="C21" s="1">
        <v>0</v>
      </c>
      <c r="D21" s="12" t="s">
        <v>6</v>
      </c>
      <c r="E21" s="1">
        <v>24</v>
      </c>
      <c r="F21" s="12"/>
    </row>
    <row r="22" spans="1:6" x14ac:dyDescent="0.25">
      <c r="A22" s="7">
        <v>20012</v>
      </c>
      <c r="B22" s="12" t="s">
        <v>5</v>
      </c>
      <c r="C22" s="1">
        <v>0</v>
      </c>
      <c r="D22" s="12" t="s">
        <v>6</v>
      </c>
      <c r="E22" s="1">
        <v>24</v>
      </c>
      <c r="F22" s="12"/>
    </row>
    <row r="23" spans="1:6" x14ac:dyDescent="0.25">
      <c r="A23" s="7">
        <v>20014</v>
      </c>
      <c r="B23" s="12" t="s">
        <v>5</v>
      </c>
      <c r="C23" s="1">
        <v>0</v>
      </c>
      <c r="D23" s="12" t="s">
        <v>6</v>
      </c>
      <c r="E23" s="1">
        <v>24</v>
      </c>
      <c r="F23" s="12"/>
    </row>
    <row r="24" spans="1:6" x14ac:dyDescent="0.25">
      <c r="A24" s="7">
        <v>20016</v>
      </c>
      <c r="B24" s="12" t="s">
        <v>5</v>
      </c>
      <c r="C24" s="1">
        <v>0</v>
      </c>
      <c r="D24" s="12" t="s">
        <v>6</v>
      </c>
      <c r="E24" s="1">
        <v>24</v>
      </c>
      <c r="F24" s="12"/>
    </row>
    <row r="25" spans="1:6" x14ac:dyDescent="0.25">
      <c r="A25" s="7">
        <v>20018</v>
      </c>
      <c r="B25" s="12" t="s">
        <v>5</v>
      </c>
      <c r="C25" s="1">
        <v>0</v>
      </c>
      <c r="D25" s="12" t="s">
        <v>6</v>
      </c>
      <c r="E25" s="1">
        <v>24</v>
      </c>
      <c r="F25" s="12"/>
    </row>
    <row r="26" spans="1:6" x14ac:dyDescent="0.25">
      <c r="A26" s="7">
        <v>20020</v>
      </c>
      <c r="B26" s="12" t="s">
        <v>5</v>
      </c>
      <c r="C26" s="1">
        <v>0</v>
      </c>
      <c r="D26" s="12" t="s">
        <v>6</v>
      </c>
      <c r="E26" s="1">
        <v>24</v>
      </c>
      <c r="F26" s="12"/>
    </row>
    <row r="27" spans="1:6" x14ac:dyDescent="0.25">
      <c r="A27" s="7">
        <v>20022</v>
      </c>
      <c r="B27" s="12" t="s">
        <v>5</v>
      </c>
      <c r="C27" s="1">
        <v>0</v>
      </c>
      <c r="D27" s="12" t="s">
        <v>6</v>
      </c>
      <c r="E27" s="1">
        <v>24</v>
      </c>
      <c r="F27" s="12"/>
    </row>
    <row r="28" spans="1:6" x14ac:dyDescent="0.25">
      <c r="A28" s="7">
        <v>20024</v>
      </c>
      <c r="B28" s="12" t="s">
        <v>5</v>
      </c>
      <c r="C28" s="1">
        <v>0</v>
      </c>
      <c r="D28" s="12" t="s">
        <v>6</v>
      </c>
      <c r="E28" s="1">
        <v>24</v>
      </c>
      <c r="F28" s="12"/>
    </row>
    <row r="29" spans="1:6" x14ac:dyDescent="0.25">
      <c r="A29" s="7">
        <v>20026</v>
      </c>
      <c r="B29" s="12" t="s">
        <v>5</v>
      </c>
      <c r="C29" s="1">
        <v>0</v>
      </c>
      <c r="D29" s="12" t="s">
        <v>6</v>
      </c>
      <c r="E29" s="1">
        <v>24</v>
      </c>
      <c r="F29" s="12"/>
    </row>
    <row r="30" spans="1:6" x14ac:dyDescent="0.25">
      <c r="A30" s="7">
        <v>20028</v>
      </c>
      <c r="B30" s="12" t="s">
        <v>5</v>
      </c>
      <c r="C30" s="1">
        <v>0</v>
      </c>
      <c r="D30" s="12" t="s">
        <v>6</v>
      </c>
      <c r="E30" s="1">
        <v>24</v>
      </c>
      <c r="F30" s="12"/>
    </row>
    <row r="31" spans="1:6" x14ac:dyDescent="0.25">
      <c r="A31" s="7">
        <v>20030</v>
      </c>
      <c r="B31" s="12" t="s">
        <v>5</v>
      </c>
      <c r="C31" s="1">
        <v>0</v>
      </c>
      <c r="D31" s="12" t="s">
        <v>6</v>
      </c>
      <c r="E31" s="1">
        <v>24</v>
      </c>
      <c r="F31" s="12"/>
    </row>
    <row r="32" spans="1:6" x14ac:dyDescent="0.25">
      <c r="A32" s="7">
        <v>20032</v>
      </c>
      <c r="B32" s="12" t="s">
        <v>5</v>
      </c>
      <c r="C32" s="1">
        <v>0</v>
      </c>
      <c r="D32" s="12" t="s">
        <v>6</v>
      </c>
      <c r="E32" s="1">
        <v>24</v>
      </c>
      <c r="F32" s="12"/>
    </row>
    <row r="33" spans="1:6" x14ac:dyDescent="0.25">
      <c r="A33" s="7">
        <v>20034</v>
      </c>
      <c r="B33" s="12" t="s">
        <v>5</v>
      </c>
      <c r="C33" s="1">
        <v>0</v>
      </c>
      <c r="D33" s="12" t="s">
        <v>6</v>
      </c>
      <c r="E33" s="1">
        <v>24</v>
      </c>
      <c r="F33" s="12"/>
    </row>
    <row r="34" spans="1:6" x14ac:dyDescent="0.25">
      <c r="A34" s="7">
        <v>20036</v>
      </c>
      <c r="B34" s="12" t="s">
        <v>5</v>
      </c>
      <c r="C34" s="1">
        <v>0</v>
      </c>
      <c r="D34" s="12" t="s">
        <v>6</v>
      </c>
      <c r="E34" s="1">
        <v>24</v>
      </c>
      <c r="F34" s="12"/>
    </row>
    <row r="35" spans="1:6" x14ac:dyDescent="0.25">
      <c r="A35" s="7">
        <v>20038</v>
      </c>
      <c r="B35" s="12" t="s">
        <v>5</v>
      </c>
      <c r="C35" s="1">
        <v>0</v>
      </c>
      <c r="D35" s="12" t="s">
        <v>6</v>
      </c>
      <c r="E35" s="1">
        <v>24</v>
      </c>
      <c r="F35" s="12"/>
    </row>
    <row r="36" spans="1:6" x14ac:dyDescent="0.25">
      <c r="A36" s="7">
        <v>20040</v>
      </c>
      <c r="B36" s="12" t="s">
        <v>5</v>
      </c>
      <c r="C36" s="1">
        <v>0</v>
      </c>
      <c r="D36" s="12" t="s">
        <v>6</v>
      </c>
      <c r="E36" s="1">
        <v>24</v>
      </c>
      <c r="F36" s="12"/>
    </row>
    <row r="37" spans="1:6" x14ac:dyDescent="0.25">
      <c r="A37" s="7">
        <v>20042</v>
      </c>
      <c r="B37" s="12" t="s">
        <v>5</v>
      </c>
      <c r="C37" s="1">
        <v>0</v>
      </c>
      <c r="D37" s="12" t="s">
        <v>6</v>
      </c>
      <c r="E37" s="1">
        <v>24</v>
      </c>
      <c r="F37" s="12"/>
    </row>
    <row r="38" spans="1:6" x14ac:dyDescent="0.25">
      <c r="A38" s="7">
        <v>20044</v>
      </c>
      <c r="B38" s="12" t="s">
        <v>5</v>
      </c>
      <c r="C38" s="1">
        <v>0</v>
      </c>
      <c r="D38" s="12" t="s">
        <v>6</v>
      </c>
      <c r="E38" s="1">
        <v>24</v>
      </c>
      <c r="F38" s="12"/>
    </row>
    <row r="39" spans="1:6" x14ac:dyDescent="0.25">
      <c r="A39" s="7">
        <v>20046</v>
      </c>
      <c r="B39" s="12" t="s">
        <v>5</v>
      </c>
      <c r="C39" s="1">
        <v>0</v>
      </c>
      <c r="D39" s="12" t="s">
        <v>6</v>
      </c>
      <c r="E39" s="1">
        <v>24</v>
      </c>
      <c r="F39" s="12"/>
    </row>
    <row r="40" spans="1:6" x14ac:dyDescent="0.25">
      <c r="A40" s="7">
        <v>20048</v>
      </c>
      <c r="B40" s="12" t="s">
        <v>5</v>
      </c>
      <c r="C40" s="1">
        <v>0</v>
      </c>
      <c r="D40" s="12" t="s">
        <v>6</v>
      </c>
      <c r="E40" s="1">
        <v>24</v>
      </c>
      <c r="F40" s="12"/>
    </row>
    <row r="41" spans="1:6" x14ac:dyDescent="0.25">
      <c r="A41" s="7">
        <v>20050</v>
      </c>
      <c r="B41" s="12" t="s">
        <v>5</v>
      </c>
      <c r="C41" s="1">
        <v>0</v>
      </c>
      <c r="D41" s="12" t="s">
        <v>6</v>
      </c>
      <c r="E41" s="1">
        <v>24</v>
      </c>
      <c r="F41" s="12"/>
    </row>
    <row r="42" spans="1:6" x14ac:dyDescent="0.25">
      <c r="A42" s="7">
        <v>20052</v>
      </c>
      <c r="B42" s="12" t="s">
        <v>5</v>
      </c>
      <c r="C42" s="1">
        <v>0</v>
      </c>
      <c r="D42" s="12" t="s">
        <v>6</v>
      </c>
      <c r="E42" s="1">
        <v>24</v>
      </c>
      <c r="F42" s="12"/>
    </row>
    <row r="43" spans="1:6" x14ac:dyDescent="0.25">
      <c r="A43" s="7">
        <v>20054</v>
      </c>
      <c r="B43" s="12" t="s">
        <v>5</v>
      </c>
      <c r="C43" s="1">
        <v>0</v>
      </c>
      <c r="D43" s="12" t="s">
        <v>6</v>
      </c>
      <c r="E43" s="1">
        <v>24</v>
      </c>
      <c r="F43" s="12"/>
    </row>
    <row r="44" spans="1:6" x14ac:dyDescent="0.25">
      <c r="A44" s="7">
        <v>20058</v>
      </c>
      <c r="B44" s="12" t="s">
        <v>5</v>
      </c>
      <c r="C44" s="1">
        <v>0</v>
      </c>
      <c r="D44" s="12" t="s">
        <v>6</v>
      </c>
      <c r="E44" s="1">
        <v>24</v>
      </c>
      <c r="F44" s="12"/>
    </row>
    <row r="45" spans="1:6" x14ac:dyDescent="0.25">
      <c r="A45" s="7">
        <v>20060</v>
      </c>
      <c r="B45" s="12" t="s">
        <v>5</v>
      </c>
      <c r="C45" s="1">
        <v>0</v>
      </c>
      <c r="D45" s="12" t="s">
        <v>6</v>
      </c>
      <c r="E45" s="1">
        <v>24</v>
      </c>
      <c r="F45" s="12"/>
    </row>
    <row r="46" spans="1:6" x14ac:dyDescent="0.25">
      <c r="A46" s="7">
        <v>21000</v>
      </c>
      <c r="B46" s="12" t="s">
        <v>5</v>
      </c>
      <c r="C46" s="1">
        <v>0</v>
      </c>
      <c r="D46" s="12" t="s">
        <v>6</v>
      </c>
      <c r="E46" s="1">
        <v>24</v>
      </c>
      <c r="F46" s="12"/>
    </row>
    <row r="47" spans="1:6" x14ac:dyDescent="0.25">
      <c r="A47" s="7">
        <v>21002</v>
      </c>
      <c r="B47" s="12" t="s">
        <v>5</v>
      </c>
      <c r="C47" s="1">
        <v>0</v>
      </c>
      <c r="D47" s="12" t="s">
        <v>6</v>
      </c>
      <c r="E47" s="1">
        <v>24</v>
      </c>
      <c r="F47" s="12"/>
    </row>
    <row r="48" spans="1:6" x14ac:dyDescent="0.25">
      <c r="A48" s="7">
        <v>21004</v>
      </c>
      <c r="B48" s="12" t="s">
        <v>5</v>
      </c>
      <c r="C48" s="1">
        <v>0</v>
      </c>
      <c r="D48" s="12" t="s">
        <v>6</v>
      </c>
      <c r="E48" s="1">
        <v>24</v>
      </c>
      <c r="F48" s="12"/>
    </row>
    <row r="49" spans="1:6" x14ac:dyDescent="0.25">
      <c r="A49" s="7">
        <v>21006</v>
      </c>
      <c r="B49" s="12" t="s">
        <v>5</v>
      </c>
      <c r="C49" s="1">
        <v>0</v>
      </c>
      <c r="D49" s="12" t="s">
        <v>6</v>
      </c>
      <c r="E49" s="1">
        <v>24</v>
      </c>
      <c r="F49" s="12"/>
    </row>
    <row r="50" spans="1:6" x14ac:dyDescent="0.25">
      <c r="A50" s="7">
        <v>21008</v>
      </c>
      <c r="B50" s="12" t="s">
        <v>5</v>
      </c>
      <c r="C50" s="1">
        <v>0</v>
      </c>
      <c r="D50" s="12" t="s">
        <v>6</v>
      </c>
      <c r="E50" s="1">
        <v>24</v>
      </c>
      <c r="F50" s="12"/>
    </row>
    <row r="51" spans="1:6" x14ac:dyDescent="0.25">
      <c r="A51" s="7">
        <v>21010</v>
      </c>
      <c r="B51" s="12" t="s">
        <v>5</v>
      </c>
      <c r="C51" s="1">
        <v>0</v>
      </c>
      <c r="D51" s="12" t="s">
        <v>6</v>
      </c>
      <c r="E51" s="1">
        <v>24</v>
      </c>
      <c r="F51" s="12"/>
    </row>
    <row r="52" spans="1:6" x14ac:dyDescent="0.25">
      <c r="A52" s="7">
        <v>21012</v>
      </c>
      <c r="B52" s="12" t="s">
        <v>5</v>
      </c>
      <c r="C52" s="1">
        <v>0</v>
      </c>
      <c r="D52" s="12" t="s">
        <v>6</v>
      </c>
      <c r="E52" s="1">
        <v>24</v>
      </c>
      <c r="F52" s="12"/>
    </row>
    <row r="53" spans="1:6" x14ac:dyDescent="0.25">
      <c r="A53" s="7">
        <v>21014</v>
      </c>
      <c r="B53" s="12" t="s">
        <v>5</v>
      </c>
      <c r="C53" s="1">
        <v>0</v>
      </c>
      <c r="D53" s="12" t="s">
        <v>6</v>
      </c>
      <c r="E53" s="1">
        <v>24</v>
      </c>
      <c r="F53" s="12"/>
    </row>
    <row r="54" spans="1:6" x14ac:dyDescent="0.25">
      <c r="A54" s="9">
        <v>21016</v>
      </c>
      <c r="B54" s="13" t="s">
        <v>5</v>
      </c>
      <c r="C54" s="10">
        <v>0</v>
      </c>
      <c r="D54" s="13" t="s">
        <v>6</v>
      </c>
      <c r="E54" s="10">
        <v>24</v>
      </c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2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129</v>
      </c>
    </row>
    <row r="2" spans="1:3" ht="18.75" x14ac:dyDescent="0.3">
      <c r="B2" s="40" t="s">
        <v>128</v>
      </c>
    </row>
    <row r="5" spans="1:3" ht="15" x14ac:dyDescent="0.25">
      <c r="B5" s="1" t="s">
        <v>113</v>
      </c>
    </row>
    <row r="6" spans="1:3" ht="15" x14ac:dyDescent="0.25">
      <c r="A6" s="3" t="s">
        <v>53</v>
      </c>
      <c r="B6" s="1"/>
    </row>
    <row r="7" spans="1:3" ht="15" x14ac:dyDescent="0.25">
      <c r="A7" s="3" t="s">
        <v>115</v>
      </c>
      <c r="B7" s="1"/>
    </row>
    <row r="10" spans="1:3" ht="23.25" x14ac:dyDescent="0.35">
      <c r="A10" s="18" t="s">
        <v>124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116</v>
      </c>
      <c r="C17" s="17">
        <v>150</v>
      </c>
    </row>
    <row r="18" spans="1:3" ht="15" x14ac:dyDescent="0.25">
      <c r="A18" s="32">
        <v>44933</v>
      </c>
      <c r="B18" s="17" t="s">
        <v>117</v>
      </c>
      <c r="C18" s="17">
        <v>80</v>
      </c>
    </row>
    <row r="19" spans="1:3" ht="15" x14ac:dyDescent="0.25">
      <c r="A19" s="32">
        <v>44934</v>
      </c>
      <c r="B19" s="17" t="s">
        <v>118</v>
      </c>
      <c r="C19" s="17">
        <v>20</v>
      </c>
    </row>
    <row r="20" spans="1:3" ht="15" x14ac:dyDescent="0.25">
      <c r="A20" s="32">
        <v>44935</v>
      </c>
      <c r="B20" s="17" t="s">
        <v>119</v>
      </c>
      <c r="C20" s="17">
        <v>30</v>
      </c>
    </row>
    <row r="21" spans="1:3" ht="15" x14ac:dyDescent="0.25">
      <c r="A21" s="32">
        <v>44936</v>
      </c>
      <c r="B21" s="17" t="s">
        <v>120</v>
      </c>
      <c r="C21" s="17">
        <v>20</v>
      </c>
    </row>
    <row r="22" spans="1:3" ht="15" x14ac:dyDescent="0.25">
      <c r="B22" s="17" t="s">
        <v>121</v>
      </c>
      <c r="C22" s="25">
        <f>SUMPRODUCT(C12:C21)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G5" sqref="G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137</v>
      </c>
    </row>
    <row r="3" spans="1:14" ht="15" x14ac:dyDescent="0.25">
      <c r="B3" s="1" t="s">
        <v>113</v>
      </c>
    </row>
    <row r="4" spans="1:14" ht="18.75" x14ac:dyDescent="0.3">
      <c r="A4" s="43" t="s">
        <v>53</v>
      </c>
      <c r="B4" s="1"/>
      <c r="C4" s="2" t="s">
        <v>140</v>
      </c>
      <c r="F4" s="2" t="s">
        <v>141</v>
      </c>
    </row>
    <row r="5" spans="1:14" ht="18.75" x14ac:dyDescent="0.3">
      <c r="A5" s="43" t="s">
        <v>115</v>
      </c>
      <c r="B5" s="1"/>
    </row>
    <row r="6" spans="1:14" ht="15" x14ac:dyDescent="0.25">
      <c r="A6" s="3"/>
      <c r="B6" s="1"/>
    </row>
    <row r="8" spans="1:14" ht="23.25" x14ac:dyDescent="0.35">
      <c r="A8" s="18" t="s">
        <v>124</v>
      </c>
      <c r="M8" s="18" t="s">
        <v>125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130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v>-1</v>
      </c>
    </row>
    <row r="24" spans="1:14" ht="15" x14ac:dyDescent="0.25">
      <c r="A24" s="7">
        <v>10100</v>
      </c>
      <c r="B24" s="12">
        <v>10104</v>
      </c>
      <c r="C24" s="44">
        <v>-1</v>
      </c>
    </row>
    <row r="25" spans="1:14" ht="15" x14ac:dyDescent="0.25">
      <c r="A25" s="7">
        <v>10108</v>
      </c>
      <c r="B25" s="12">
        <v>10102</v>
      </c>
      <c r="C25" s="44">
        <v>-1</v>
      </c>
    </row>
    <row r="26" spans="1:14" ht="15" x14ac:dyDescent="0.25">
      <c r="A26" s="7">
        <v>10100</v>
      </c>
      <c r="B26" s="12">
        <v>10106</v>
      </c>
      <c r="C26" s="44">
        <v>-1</v>
      </c>
    </row>
    <row r="27" spans="1:14" ht="15" x14ac:dyDescent="0.25">
      <c r="A27" s="7">
        <v>10108</v>
      </c>
      <c r="B27" s="12">
        <v>10110</v>
      </c>
      <c r="C27" s="44">
        <v>-1</v>
      </c>
    </row>
    <row r="28" spans="1:14" ht="15" x14ac:dyDescent="0.25">
      <c r="A28" s="7">
        <v>10102</v>
      </c>
      <c r="B28" s="12">
        <v>10104</v>
      </c>
      <c r="C28" s="44">
        <v>-1</v>
      </c>
    </row>
    <row r="29" spans="1:14" ht="15" x14ac:dyDescent="0.25">
      <c r="A29" s="7">
        <v>10106</v>
      </c>
      <c r="B29" s="12">
        <v>10108</v>
      </c>
      <c r="C29" s="44">
        <v>-1</v>
      </c>
    </row>
    <row r="30" spans="1:14" ht="15" x14ac:dyDescent="0.25">
      <c r="A30" s="7">
        <v>10102</v>
      </c>
      <c r="B30" s="12">
        <v>10106</v>
      </c>
      <c r="C30" s="44">
        <v>-1</v>
      </c>
    </row>
    <row r="31" spans="1:14" ht="15" x14ac:dyDescent="0.25">
      <c r="A31" s="7">
        <v>10110</v>
      </c>
      <c r="B31" s="12">
        <v>10114</v>
      </c>
      <c r="C31" s="44">
        <v>-1</v>
      </c>
    </row>
    <row r="32" spans="1:14" ht="15" x14ac:dyDescent="0.25">
      <c r="A32" s="7">
        <v>10104</v>
      </c>
      <c r="B32" s="12">
        <v>10106</v>
      </c>
      <c r="C32" s="44">
        <v>-1</v>
      </c>
    </row>
    <row r="33" spans="1:3" ht="15" x14ac:dyDescent="0.25">
      <c r="A33" s="7">
        <v>10110</v>
      </c>
      <c r="B33" s="12">
        <v>10112</v>
      </c>
      <c r="C33" s="44">
        <v>-1</v>
      </c>
    </row>
    <row r="34" spans="1:3" ht="15" x14ac:dyDescent="0.25">
      <c r="A34" s="7">
        <v>10100</v>
      </c>
      <c r="B34" s="12">
        <v>10114</v>
      </c>
      <c r="C34" s="44">
        <v>-1</v>
      </c>
    </row>
    <row r="35" spans="1:3" ht="15" x14ac:dyDescent="0.25">
      <c r="A35" s="9">
        <v>10112</v>
      </c>
      <c r="B35" s="13">
        <v>10116</v>
      </c>
      <c r="C35" s="45"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WIN 10</cp:lastModifiedBy>
  <dcterms:created xsi:type="dcterms:W3CDTF">2015-02-10T17:33:11Z</dcterms:created>
  <dcterms:modified xsi:type="dcterms:W3CDTF">2024-10-23T15:37:00Z</dcterms:modified>
</cp:coreProperties>
</file>